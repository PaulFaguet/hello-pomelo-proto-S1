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2.xml.rels" ContentType="application/vnd.openxmlformats-package.relationships+xml"/>
  <Override PartName="/xl/drawings/drawing3.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ynthèse" sheetId="1" state="visible" r:id="rId3"/>
    <sheet name="Backlog" sheetId="2" state="visible" r:id="rId4"/>
    <sheet name="Dépendances" sheetId="3" state="visible" r:id="rId5"/>
    <sheet name="User stories" sheetId="4" state="visible" r:id="rId6"/>
    <sheet name="Angles morts" sheetId="5" state="visible" r:id="rId7"/>
    <sheet name="Hypothèses" sheetId="6" state="visible" r:id="rId8"/>
    <sheet name="Ouvertures" sheetId="7" state="visible" r:id="rId9"/>
  </sheets>
  <definedNames>
    <definedName function="false" hidden="true" localSheetId="1" name="_xlnm._FilterDatabase" vbProcedure="false">Backlog!$A$1:$G$21</definedName>
    <definedName function="false" hidden="true" localSheetId="3" name="_xlnm._FilterDatabase" vbProcedure="false">'User stories'!$A$1:$D$21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<sst xmlns="http://schemas.openxmlformats.org/spreadsheetml/2006/main" count="382" uniqueCount="259">
  <si>
    <t xml:space="preserve">Cadrage Sprint 1 : plateforme de feedbacks internes</t>
  </si>
  <si>
    <t xml:space="preserve">Sprint goal</t>
  </si>
  <si>
    <t xml:space="preserve">À la fin du sprint 1, un collaborateur ou un manager peut lancer une évaluation, recueillir les feedbacks de ses collègues, suivre leur avancement, puis consulter les résultats dans son historique.</t>
  </si>
  <si>
    <t xml:space="preserve">Périmètre</t>
  </si>
  <si>
    <t xml:space="preserve">Cycle demander, répondre, suivre, consulter, pour deux rôles (Manager et Utilisateur). Admin, notifications externes (e-mail, Slack, Teams), anonymat : plus tard.</t>
  </si>
  <si>
    <t xml:space="preserve">Règle de décision</t>
  </si>
  <si>
    <t xml:space="preserve">Chaque coupe se justifie par la valeur, le risque ou une dépendance. En cas d'imprévu, on ne coupe jamais un Must : on retire d'abord un Should.</t>
  </si>
  <si>
    <t xml:space="preserve">Definition of Ready</t>
  </si>
  <si>
    <t xml:space="preserve">Une story est prête quand l'équipe peut la prendre en sprint sans poser de question : besoin clair, critères d'acceptation écrits, estimation faite, aucun blocage.</t>
  </si>
  <si>
    <t xml:space="preserve">Definition of Done</t>
  </si>
  <si>
    <t xml:space="preserve">Une story est terminée quand ses critères d'acceptation sont validés et qu'un utilisateur peut réellement faire le parcours de bout en bout.</t>
  </si>
  <si>
    <t xml:space="preserve">Suivi</t>
  </si>
  <si>
    <t xml:space="preserve">Tableau de sprint (À faire, En cours, En recette, Terminé), daily de 15 min, revue de mi-sprint au jour 5. Indicateur suivi en priorité : la chaîne critique (8 étapes), pas le nombre de stories terminées.</t>
  </si>
  <si>
    <t xml:space="preserve">En cas d'imprévu</t>
  </si>
  <si>
    <t xml:space="preserve">1) Mesurer l'écart en jours et son effet sur la chaîne critique. 2) Ne jamais couper un Must. Couper d'abord un Should (ordre : US-17, US-13, US-15, US-16, US-14, US-12). 3) Si cela ne suffit pas, prévenir la direction le jour même et arbitrer avec elle entre périmètre et date. 4) Garder l'objectif du sprint : le cycle complet, du lancement aux résultats.</t>
  </si>
  <si>
    <t xml:space="preserve">Should</t>
  </si>
  <si>
    <t xml:space="preserve">Candidats, à engager selon la capacité réelle constatée au jour 5. Seuls les Must sont un engagement.</t>
  </si>
  <si>
    <t xml:space="preserve">Capacité (estimation relative, à calibrer avec le Tech Lead)</t>
  </si>
  <si>
    <t xml:space="preserve">Hypothèse (modifiable)</t>
  </si>
  <si>
    <t xml:space="preserve">Classique</t>
  </si>
  <si>
    <t xml:space="preserve">Assisté par IA</t>
  </si>
  <si>
    <t xml:space="preserve">Développeurs</t>
  </si>
  <si>
    <t xml:space="preserve">Jours ouvrés du sprint</t>
  </si>
  <si>
    <t xml:space="preserve">Jours-dev pour une story S</t>
  </si>
  <si>
    <t xml:space="preserve">Jours-dev pour une story M</t>
  </si>
  <si>
    <t xml:space="preserve">Calcul</t>
  </si>
  <si>
    <t xml:space="preserve">Capacité brute (jours-dev)</t>
  </si>
  <si>
    <t xml:space="preserve">Must : nombre de S</t>
  </si>
  <si>
    <t xml:space="preserve">Must : nombre de M</t>
  </si>
  <si>
    <t xml:space="preserve">Must (jours-dev)</t>
  </si>
  <si>
    <t xml:space="preserve">Must (% de la capacité brute)</t>
  </si>
  <si>
    <t xml:space="preserve">Should : nombre de S</t>
  </si>
  <si>
    <t xml:space="preserve">Should : nombre de M</t>
  </si>
  <si>
    <t xml:space="preserve">Should (jours-dev)</t>
  </si>
  <si>
    <t xml:space="preserve">Must + Should (% de la capacité brute)</t>
  </si>
  <si>
    <t xml:space="preserve">Marge (cérémonies, bugs, recette)</t>
  </si>
  <si>
    <t xml:space="preserve">Capacité nette (jours-dev)</t>
  </si>
  <si>
    <t xml:space="preserve">Must (% de la capacité nette)</t>
  </si>
  <si>
    <t xml:space="preserve">Must + Should (% de la capacité nette)</t>
  </si>
  <si>
    <t xml:space="preserve">Les conversions S/M en jours sont des ordres de grandeur, pas des données : aucun document ne donne la vélocité de l'équipe. Cellules jaunes = hypothèses modifiables.</t>
  </si>
  <si>
    <t xml:space="preserve">ID</t>
  </si>
  <si>
    <t xml:space="preserve">Story</t>
  </si>
  <si>
    <t xml:space="preserve">Rôle</t>
  </si>
  <si>
    <t xml:space="preserve">Priorité</t>
  </si>
  <si>
    <t xml:space="preserve">Taille</t>
  </si>
  <si>
    <t xml:space="preserve">Dépend de</t>
  </si>
  <si>
    <t xml:space="preserve">Pourquoi</t>
  </si>
  <si>
    <t xml:space="preserve">EN-01</t>
  </si>
  <si>
    <t xml:space="preserve">Comptes de démo et sélecteur de profil (enabler)</t>
  </si>
  <si>
    <t xml:space="preserve">Équipe</t>
  </si>
  <si>
    <t xml:space="preserve">Must</t>
  </si>
  <si>
    <t xml:space="preserve">S</t>
  </si>
  <si>
    <t xml:space="preserve">n/a</t>
  </si>
  <si>
    <t xml:space="preserve">Sans utilisateurs ni managers, rien ne tourne</t>
  </si>
  <si>
    <t xml:space="preserve">US-01</t>
  </si>
  <si>
    <t xml:space="preserve">Sélectionner le formulaire standard</t>
  </si>
  <si>
    <t xml:space="preserve">Utilisateur et Manager</t>
  </si>
  <si>
    <t xml:space="preserve">Un seul formulaire au sprint 1 : sans formulaire, pas d'évaluation</t>
  </si>
  <si>
    <t xml:space="preserve">US-02</t>
  </si>
  <si>
    <t xml:space="preserve">Créer une évaluation pour moi</t>
  </si>
  <si>
    <t xml:space="preserve">Utilisateur</t>
  </si>
  <si>
    <t xml:space="preserve">M</t>
  </si>
  <si>
    <t xml:space="preserve">EN-01, US-01</t>
  </si>
  <si>
    <t xml:space="preserve">Cœur du parcours Utilisateur</t>
  </si>
  <si>
    <t xml:space="preserve">US-03</t>
  </si>
  <si>
    <t xml:space="preserve">Créer une évaluation pour un membre de mon équipe</t>
  </si>
  <si>
    <t xml:space="preserve">Manager</t>
  </si>
  <si>
    <t xml:space="preserve">Cœur du rôle Manager</t>
  </si>
  <si>
    <t xml:space="preserve">US-04</t>
  </si>
  <si>
    <t xml:space="preserve">Lancer une évaluation (dès 1 personne)</t>
  </si>
  <si>
    <t xml:space="preserve">Sans lancement, pas de collecte</t>
  </si>
  <si>
    <t xml:space="preserve">US-05</t>
  </si>
  <si>
    <t xml:space="preserve">Ajouter une personne après lancement</t>
  </si>
  <si>
    <t xml:space="preserve">Demandé dans le cahier des charges</t>
  </si>
  <si>
    <t xml:space="preserve">US-06</t>
  </si>
  <si>
    <t xml:space="preserve">Retirer une personne d'une évaluation en cours</t>
  </si>
  <si>
    <t xml:space="preserve">Symétrique de l'ajout : corrige une erreur de ciblage sans attendre la clôture</t>
  </si>
  <si>
    <t xml:space="preserve">US-07</t>
  </si>
  <si>
    <t xml:space="preserve">Voir mes feedbacks à compléter (avec compteur)</t>
  </si>
  <si>
    <t xml:space="preserve">Sans cette liste, personne ne répond. Le compteur remplace les notifications</t>
  </si>
  <si>
    <t xml:space="preserve">US-08</t>
  </si>
  <si>
    <t xml:space="preserve">Répondre : brouillon, envoi</t>
  </si>
  <si>
    <t xml:space="preserve">Cœur de la valeur</t>
  </si>
  <si>
    <t xml:space="preserve">US-09</t>
  </si>
  <si>
    <t xml:space="preserve">Suivre l'avancement</t>
  </si>
  <si>
    <t xml:space="preserve">Un des trois enjeux du produit. Porte aussi la vue Manager de l'équipe</t>
  </si>
  <si>
    <t xml:space="preserve">US-10</t>
  </si>
  <si>
    <t xml:space="preserve">Clôturer une évaluation</t>
  </si>
  <si>
    <t xml:space="preserve">Sans clôture, pas de résultats ni d'historique</t>
  </si>
  <si>
    <t xml:space="preserve">US-11</t>
  </si>
  <si>
    <t xml:space="preserve">Consulter les résultats par évaluation</t>
  </si>
  <si>
    <t xml:space="preserve">Fin du parcours central</t>
  </si>
  <si>
    <t xml:space="preserve">US-12</t>
  </si>
  <si>
    <t xml:space="preserve">Créer, modifier et dupliquer un formulaire</t>
  </si>
  <si>
    <t xml:space="preserve">Le formulaire standard couvre le besoin du sprint 1 : l'éditeur peut attendre</t>
  </si>
  <si>
    <t xml:space="preserve">US-13</t>
  </si>
  <si>
    <t xml:space="preserve">Supprimer un brouillon</t>
  </si>
  <si>
    <t xml:space="preserve">Confort, non bloquant</t>
  </si>
  <si>
    <t xml:space="preserve">US-14</t>
  </si>
  <si>
    <t xml:space="preserve">Modifier l'évaluation et le formulaire tant qu'il y a 0 réponse</t>
  </si>
  <si>
    <t xml:space="preserve">Utile mais coûteux : verrou conditionnel, copie du formulaire par évaluation</t>
  </si>
  <si>
    <t xml:space="preserve">US-15</t>
  </si>
  <si>
    <t xml:space="preserve">Refuser une demande</t>
  </si>
  <si>
    <t xml:space="preserve">Prévu dans le brief, mais le cas nominal passe avant</t>
  </si>
  <si>
    <t xml:space="preserve">US-16</t>
  </si>
  <si>
    <t xml:space="preserve">Consulter les résultats de mon équipe</t>
  </si>
  <si>
    <t xml:space="preserve">Dépend des règles de confidentialité à valider</t>
  </si>
  <si>
    <t xml:space="preserve">US-17</t>
  </si>
  <si>
    <t xml:space="preserve">Archiver une évaluation</t>
  </si>
  <si>
    <t xml:space="preserve">Peut attendre</t>
  </si>
  <si>
    <t xml:space="preserve">US-18</t>
  </si>
  <si>
    <t xml:space="preserve">Proposer des personnes à interroger</t>
  </si>
  <si>
    <t xml:space="preserve">Sprint 2</t>
  </si>
  <si>
    <t xml:space="preserve">Flux à deux acteurs (proposition puis validation) pour un gain faible</t>
  </si>
  <si>
    <t xml:space="preserve">US-19</t>
  </si>
  <si>
    <t xml:space="preserve">Dashboard manager</t>
  </si>
  <si>
    <t xml:space="preserve">La vue d'avancement de US-09 couvre le besoin minimal</t>
  </si>
  <si>
    <t xml:space="preserve">Légende des tailles (sert au calcul de capacité, voir Synthèse)</t>
  </si>
  <si>
    <t xml:space="preserve">Définition</t>
  </si>
  <si>
    <t xml:space="preserve">Jours-dev</t>
  </si>
  <si>
    <t xml:space="preserve">Avec IA (÷ 2)</t>
  </si>
  <si>
    <t xml:space="preserve">Un écran ou une règle simple, peu de cas limites</t>
  </si>
  <si>
    <t xml:space="preserve">Plusieurs écrans ou règles, avec des cas limites et des données liées</t>
  </si>
  <si>
    <t xml:space="preserve">L</t>
  </si>
  <si>
    <t xml:space="preserve">Un parcours complet ou un sujet technique lourd. Aucune story L dans ce backlog : on la redécoupe avant le sprint</t>
  </si>
  <si>
    <t xml:space="preserve">Ordres de grandeur, à calibrer avec le Tech Lead. Les jours-dev se modifient dans les cellules jaunes de la Synthèse.</t>
  </si>
  <si>
    <t xml:space="preserve">Dépendances entre les stories du sprint 1 (Must)</t>
  </si>
  <si>
    <t xml:space="preserve">Lecture</t>
  </si>
  <si>
    <t xml:space="preserve">Une flèche signifie « ne peut commencer que quand la précédente est finie ». Rose : chaîne critique, 8 étapes enchaînées. Gris : hors chaîne, peut glisser sans bloquer l'objectif.</t>
  </si>
  <si>
    <t xml:space="preserve">À retenir</t>
  </si>
  <si>
    <t xml:space="preserve">8 étapes enchaînées pour un sprint de 10 jours : si chaque story attend la précédente, le sprint ne tient pas. On développe donc en parallèle sur des données simulées, le prototype servant de spécification, et on surveille cette chaîne en priorité.</t>
  </si>
  <si>
    <t xml:space="preserve">Critères d'acceptation (Soit / Quand / Alors)</t>
  </si>
  <si>
    <t xml:space="preserve">Équipe : je veux des utilisateurs de démonstration avec leur manager et un sélecteur de profil, afin de tester tous les parcours sans authentification.</t>
  </si>
  <si>
    <t xml:space="preserve">Soit des managers et des collaborateurs de démonstration, quand je change de profil, alors je ne vois que mes données.
Soit un manager, alors il a les onglets utilisateur et « Mon équipe ».</t>
  </si>
  <si>
    <t xml:space="preserve">Je veux sélectionner le formulaire standard « Feedback standard » pour mon évaluation, afin de poser les bonnes questions sans avoir à le construire.</t>
  </si>
  <si>
    <t xml:space="preserve">Soit le formulaire standard, alors il contient une note de 1 à 5, un choix multiple et une question ouverte.
Soit une évaluation en création, quand je choisis le formulaire, alors « Feedback standard » est proposé.
Soit une évaluation sans formulaire, alors elle ne peut pas être lancée.</t>
  </si>
  <si>
    <t xml:space="preserve">En tant que collaborateur, je veux définir un nom, une période, une date limite, un formulaire et des personnes à interroger, afin de demander des retours sur mon travail.</t>
  </si>
  <si>
    <t xml:space="preserve">Soit une date limite passée ou du jour, quand je lance, alors un message d'erreur apparaît et rien n'est lancé.
Soit moi-même dans les personnes interrogées, alors c'est refusé.
Soit un brouillon, quand je l'enregistre, alors il reste en brouillon, visible de moi seul.</t>
  </si>
  <si>
    <t xml:space="preserve">En tant que manager, je veux créer une évaluation pour un collaborateur de mon équipe et choisir les personnes interrogées, afin de piloter la dynamique d'équipe.</t>
  </si>
  <si>
    <t xml:space="preserve">Soit un membre de mon équipe, quand je lance l'évaluation, alors elle apparaît dans son espace.
Soit un collaborateur d'une autre équipe, alors je ne peux pas le choisir.
Soit moi-même, alors l'auto-évaluation est possible.</t>
  </si>
  <si>
    <t xml:space="preserve">Je veux lancer mon évaluation, afin que les personnes interrogées reçoivent leur demande.</t>
  </si>
  <si>
    <t xml:space="preserve">Soit 0 personne interrogée, alors le bouton Lancer est inactif et l'évaluation reste en brouillon.
Soit 1 personne ou plus et des champs valides, quand je lance, alors l'évaluation passe « En cours » et chaque personne reçoit une demande « Envoyé ».
Soit une personne déjà choisie, alors elle ne peut pas l'être deux fois.</t>
  </si>
  <si>
    <t xml:space="preserve">Je veux ajouter une personne à une évaluation en cours, afin d'obtenir un avis oublié sans tout recréer.</t>
  </si>
  <si>
    <t xml:space="preserve">Soit une évaluation en cours, quand j'ajoute une personne, alors elle reçoit une demande « Envoyé » et le compteur passe de 1/1 à 1/2.
Soit une personne déjà interrogée ou la personne évaluée, alors l'ajout est refusé.
Soit une évaluation clôturée, alors l'ajout est impossible.</t>
  </si>
  <si>
    <t xml:space="preserve">Je veux retirer une personne d'une évaluation en cours, afin de corriger une erreur de ciblage sans attendre la clôture.</t>
  </si>
  <si>
    <t xml:space="preserve">Soit une demande « Envoyé » ou « Brouillon », quand je retire la personne, alors sa demande est supprimée et le compteur se met à jour. Pour un brouillon de réponse, la confirmation prévient qu'il sera perdu.
Soit une demande « Terminé », alors le retrait est impossible : le feedback est conservé.
Soit une seule personne interrogée, alors le retrait est impossible : il faut clôturer.
Soit une personne retirée, quand je l'ajoute de nouveau, alors elle reçoit une nouvelle demande.</t>
  </si>
  <si>
    <t xml:space="preserve">Je veux voir la liste des demandes qu'on m'adresse, afin de savoir lesquelles traiter.</t>
  </si>
  <si>
    <t xml:space="preserve">Soit des demandes reçues, alors je vois l'évaluation, la personne évaluée, la date limite et le statut.
Soit des demandes « Envoyé » ou « Brouillon » sur des évaluations en cours, alors l'onglet Feedback affiche leur nombre.
Soit une date limite dépassée, alors la demande est signalée en retard et la réponse reste possible jusqu'à la clôture.</t>
  </si>
  <si>
    <t xml:space="preserve">Je veux répondre à une demande, en brouillon puis en envoi, afin de donner un retour juste, à mon rythme.</t>
  </si>
  <si>
    <t xml:space="preserve">Soit une réponse en cours, quand je l'enregistre en brouillon, alors je peux la reprendre plus tard.
Soit une question obligatoire vide, quand j'envoie, alors l'envoi est bloqué avec un message clair.
Soit un envoi réussi, alors la demande passe « Terminé » et n'est plus modifiable.
Soit une évaluation clôturée, alors je ne peux plus répondre.</t>
  </si>
  <si>
    <t xml:space="preserve">Je veux voir où en est chaque personne interrogée, afin de savoir qui n'a pas encore répondu, sans interroger tout le monde.</t>
  </si>
  <si>
    <t xml:space="preserve">Soit une évaluation en cours, alors je vois le statut de chaque personne et un compteur du type « 3/5 terminés ».
Soit une évaluation en cours, alors le contenu des réponses reste masqué.
Soit un autre collaborateur que le créateur, la personne évaluée ou son manager, alors je n'ai pas accès à cet avancement.
Soit un manager, quand j'ouvre « Mon équipe », alors je vois les évaluations en cours des membres de mon équipe et leur avancement.</t>
  </si>
  <si>
    <t xml:space="preserve">Je veux clôturer une évaluation, afin de figer la période et d'ouvrir les résultats.</t>
  </si>
  <si>
    <t xml:space="preserve">Soit une évaluation en cours, quand je clique sur Clôturer, alors une confirmation indique combien de demandes ne sont pas terminées.
Soit la clôture confirmée, alors les demandes « Envoyé » et « Brouillon » passent « Expiré » et l'évaluation est figée, sans réouverture possible.
Soit une évaluation clôturée, alors ses résultats deviennent visibles.</t>
  </si>
  <si>
    <t xml:space="preserve">Je veux consulter les retours reçus pour chaque évaluation clôturée, afin de garder une trace de ce que j'ai accompli.</t>
  </si>
  <si>
    <t xml:space="preserve">Soit une évaluation clôturée, alors je vois la note moyenne, les options choisies, les réponses avec leur auteur nommé et les personnes qui n'ont pas répondu.
Soit un autre collaborateur, alors je n'ai pas accès à ces résultats.
Soit mes évaluations passées, alors je les retrouve dans l'onglet Historique, par évaluation.</t>
  </si>
  <si>
    <t xml:space="preserve">En tant que manager, je veux créer, modifier ou dupliquer un formulaire (note de 1 à 5, choix multiple, question ouverte), afin de l'adapter sans repartir de zéro.</t>
  </si>
  <si>
    <t xml:space="preserve">Soit un formulaire, quand j'ajoute une question, alors je choisis son type, son libellé et si elle est obligatoire.
Soit un formulaire sans question, quand j'enregistre, alors c'est refusé avec un message clair.
Soit un formulaire utilisé par une évaluation lancée, quand je le modifie, alors l'évaluation lancée est inchangée (elle a sa propre copie).
Soit un formulaire, quand je le duplique, alors une copie modifiable est créée.</t>
  </si>
  <si>
    <t xml:space="preserve">Je veux supprimer une évaluation que je n'ai pas lancée, afin de ne pas encombrer mon espace.</t>
  </si>
  <si>
    <t xml:space="preserve">Soit une évaluation en brouillon, quand je supprime et que je confirme, alors elle disparaît définitivement.
Soit une évaluation lancée, alors le bouton Supprimer n'existe pas (clôturer, puis archiver).</t>
  </si>
  <si>
    <t xml:space="preserve">Je veux corriger le nom, la date limite ou le formulaire d'une évaluation lancée, afin de rectifier une erreur tant que personne n'a répondu.</t>
  </si>
  <si>
    <t xml:space="preserve">Soit une évaluation sans aucune réponse (ni brouillon ni envoi), quand je modifie son nom, sa date limite ou son formulaire, alors la modification est enregistrée.
Soit une première réponse enregistrée (brouillon ou envoi), alors le formulaire est verrouillé. Un refus ne le verrouille pas.
Soit un formulaire modifié, alors seule la copie de l'évaluation change, jamais le modèle partagé.</t>
  </si>
  <si>
    <t xml:space="preserve">Je veux refuser une demande de feedback, afin de ne pas répondre quand je ne peux pas ou ne dois pas le faire.</t>
  </si>
  <si>
    <t xml:space="preserve">Soit une demande « Envoyé » ou « Brouillon », quand je refuse (motif facultatif), alors elle passe « Refusé ».
Soit une demande refusée, alors le demandeur voit « Refusé », sans autre conséquence.
Soit une évaluation clôturée, alors je ne peux plus refuser.</t>
  </si>
  <si>
    <t xml:space="preserve">En tant que manager, je veux consulter les résultats des évaluations de mon équipe, afin de préparer mes entretiens.</t>
  </si>
  <si>
    <t xml:space="preserve">Soit une évaluation clôturée d'un membre de mon équipe, alors je vois ses résultats.
Soit un collaborateur d'une autre équipe, alors je n'y ai pas accès.
Soit une évaluation en cours, alors je ne vois que l'avancement.</t>
  </si>
  <si>
    <t xml:space="preserve">Je veux archiver une évaluation clôturée, afin de garder ma vue principale lisible sans perdre la trace.</t>
  </si>
  <si>
    <t xml:space="preserve">Soit une évaluation clôturée, quand j'archive, alors elle sort de la vue principale.
Soit une évaluation archivée, alors elle reste consultable via un filtre.
Soit une évaluation en cours, alors l'archivage est impossible.</t>
  </si>
  <si>
    <t xml:space="preserve">En tant que collaborateur évalué par mon manager, je veux proposer des personnes à interroger, afin que des avis que je juge utiles soient demandés.</t>
  </si>
  <si>
    <t xml:space="preserve">À détailler en affinage avant le sprint 2.</t>
  </si>
  <si>
    <t xml:space="preserve">En tant que manager, je veux un tableau de bord de mon équipe, afin de repérer d'un coup d'œil les retards.</t>
  </si>
  <si>
    <t xml:space="preserve">EN-01 est un enabler (tâche technique), pas une user story. Les stories du sprint 2 ne sont volontairement pas détaillées : on affine seulement ce qui entre dans le prochain sprint. Les Should sont des candidats, engagés selon la capacité.</t>
  </si>
  <si>
    <t xml:space="preserve">Sujet</t>
  </si>
  <si>
    <t xml:space="preserve">Risque</t>
  </si>
  <si>
    <t xml:space="preserve">Hypothèse sprint 1</t>
  </si>
  <si>
    <t xml:space="preserve">Question à poser</t>
  </si>
  <si>
    <t xml:space="preserve">Confidentialité et anonymat</t>
  </si>
  <si>
    <t xml:space="preserve">Feedbacks moins sincères, ou modèle de données à refaire si l'anonymat arrive plus tard</t>
  </si>
  <si>
    <t xml:space="preserve">Auteur nommé. Contenu visible à la personne évaluée et à son manager après clôture</t>
  </si>
  <si>
    <t xml:space="preserve">L'auteur d'un feedback est-il nommé ou anonyme ? Dans quels cas ?</t>
  </si>
  <si>
    <t xml:space="preserve">Cadre RH et juridique</t>
  </si>
  <si>
    <t xml:space="preserve">Blocage au déploiement (information des salariés, CSE, RGPD)</t>
  </si>
  <si>
    <t xml:space="preserve">Hors sprint, à traiter avant toute mise en production</t>
  </si>
  <si>
    <t xml:space="preserve">Qui valide côté RH et juridique ? Quelle durée de conservation ?</t>
  </si>
  <si>
    <t xml:space="preserve">Canal de notification</t>
  </si>
  <si>
    <t xml:space="preserve">Dépendance externe (app Slack ou Teams à faire approuver)</t>
  </si>
  <si>
    <t xml:space="preserve">Pas de notification externe en sprint 1. Compteur de demandes en attente sur l'onglet Feedback</t>
  </si>
  <si>
    <t xml:space="preserve">Quel canal : e-mail, Slack, Teams ? Le cahier des charges ne mentionne pas Teams, à ma lecture</t>
  </si>
  <si>
    <t xml:space="preserve">Clôture définitive</t>
  </si>
  <si>
    <t xml:space="preserve">Erreur de clôture irréversible</t>
  </si>
  <si>
    <t xml:space="preserve">Confirmation indiquant le nombre de demandes non terminées. Pas de réouverture</t>
  </si>
  <si>
    <t xml:space="preserve">Faut-il prévoir une réouverture par un admin en sprint 2 ?</t>
  </si>
  <si>
    <t xml:space="preserve">Choix libre des personnes</t>
  </si>
  <si>
    <t xml:space="preserve">Fatigue et spam si chacun peut interroger tout le monde</t>
  </si>
  <si>
    <t xml:space="preserve">Choix parmi tous les collaborateurs, sans plafond</t>
  </si>
  <si>
    <t xml:space="preserve">Faut-il plafonner le nombre de demandes par personne et par période ?</t>
  </si>
  <si>
    <t xml:space="preserve">Changement de manager ou compte désactivé</t>
  </si>
  <si>
    <t xml:space="preserve">Droits d'accès et feedbacks en attente orphelins</t>
  </si>
  <si>
    <t xml:space="preserve">Hors sprint 1 (Admin)</t>
  </si>
  <si>
    <t xml:space="preserve">Qui garde l'accès à l'historique quand un manager change ?</t>
  </si>
  <si>
    <t xml:space="preserve">Vocabulaire</t>
  </si>
  <si>
    <t xml:space="preserve">Mots différents selon les interlocuteurs</t>
  </si>
  <si>
    <t xml:space="preserve">« Évaluation » dans le prototype</t>
  </si>
  <si>
    <t xml:space="preserve">« Évaluation » ou « Demande de feedback » ? Le brief parle aussi d'états Envoyé, En cours, Terminé</t>
  </si>
  <si>
    <t xml:space="preserve">Capacité de l'équipe</t>
  </si>
  <si>
    <t xml:space="preserve">Sprint sur- ou sous-dimensionné</t>
  </si>
  <si>
    <t xml:space="preserve">4 développeurs, 2 semaines, avec ou sans IA</t>
  </si>
  <si>
    <t xml:space="preserve">Effectif, durée de sprint et vélocité réelles ? (Tech Lead)</t>
  </si>
  <si>
    <t xml:space="preserve">Chaîne de dépendances</t>
  </si>
  <si>
    <t xml:space="preserve">8 étapes enchaînées pour 10 jours de sprint</t>
  </si>
  <si>
    <t xml:space="preserve">Développement en parallèle sur données simulées, prototype comme spécification</t>
  </si>
  <si>
    <t xml:space="preserve">L'équipe peut-elle travailler en parallèle sur une spécification partagée ? (Tech Lead)</t>
  </si>
  <si>
    <t xml:space="preserve">Démo</t>
  </si>
  <si>
    <t xml:space="preserve">Plantage pendant l'atelier</t>
  </si>
  <si>
    <t xml:space="preserve">Plan B : capture vidéo du parcours et lien déployé</t>
  </si>
  <si>
    <t xml:space="preserve">Hypothèse prise</t>
  </si>
  <si>
    <t xml:space="preserve">Si elle est fausse</t>
  </si>
  <si>
    <t xml:space="preserve">À valider avec</t>
  </si>
  <si>
    <t xml:space="preserve">4 développeurs, sprint de 2 semaines</t>
  </si>
  <si>
    <t xml:space="preserve">Le sprint est sur- ou sous-dimensionné : on ajuste les Should</t>
  </si>
  <si>
    <t xml:space="preserve">Tech Lead</t>
  </si>
  <si>
    <t xml:space="preserve">Les développeurs travaillent avec l'IA</t>
  </si>
  <si>
    <t xml:space="preserve">La capacité passe du scénario assisté au scénario classique (voir Synthèse)</t>
  </si>
  <si>
    <t xml:space="preserve">Auteur des feedbacks nommé</t>
  </si>
  <si>
    <t xml:space="preserve">Le modèle de données et les règles de visibilité sont à revoir</t>
  </si>
  <si>
    <t xml:space="preserve">Direction</t>
  </si>
  <si>
    <t xml:space="preserve">Résultats visibles à la clôture seulement</t>
  </si>
  <si>
    <t xml:space="preserve">On ajoute un affichage progressif et le risque de biais</t>
  </si>
  <si>
    <t xml:space="preserve">Direction, Expert métier</t>
  </si>
  <si>
    <t xml:space="preserve">Clôture définitive, sans réouverture</t>
  </si>
  <si>
    <t xml:space="preserve">On ajoute une réouverture (mémorisation des demandes expirées)</t>
  </si>
  <si>
    <t xml:space="preserve">Lancement dès 1 personne interrogée</t>
  </si>
  <si>
    <t xml:space="preserve">On impose un minimum de personnes</t>
  </si>
  <si>
    <t xml:space="preserve">Expert métier</t>
  </si>
  <si>
    <t xml:space="preserve">Choix libre parmi tous les collaborateurs, sans plafond</t>
  </si>
  <si>
    <t xml:space="preserve">Il faut un plafond de demandes par personne</t>
  </si>
  <si>
    <t xml:space="preserve">Direction, RH</t>
  </si>
  <si>
    <t xml:space="preserve">Pas de notification externe (e-mail, Slack, Teams) en sprint 1, un compteur dans l'onglet Feedback</t>
  </si>
  <si>
    <t xml:space="preserve">Le taux de réponse peut chuter : les notifications passent en Must</t>
  </si>
  <si>
    <t xml:space="preserve">Socle technique (dépôt, base de données, environnement de recette) fourni par l'équipe</t>
  </si>
  <si>
    <t xml:space="preserve">Un enabler de mise en place est à ajouter et à chiffrer au sprint 1</t>
  </si>
  <si>
    <t xml:space="preserve">Environ 150 utilisateurs</t>
  </si>
  <si>
    <t xml:space="preserve">Volumes et performances à revoir</t>
  </si>
  <si>
    <t xml:space="preserve">Formulaire figé à la création (prototype)</t>
  </si>
  <si>
    <t xml:space="preserve">Règle cible : modifiable tant qu'il y a 0 réponse (US-14, Should)</t>
  </si>
  <si>
    <t xml:space="preserve">Direction, Tech Lead</t>
  </si>
  <si>
    <t xml:space="preserve">Thème</t>
  </si>
  <si>
    <t xml:space="preserve">Sprint 2 et au-delà</t>
  </si>
  <si>
    <t xml:space="preserve">Anonymat</t>
  </si>
  <si>
    <t xml:space="preserve">Évaluations anonymes (360°, feedback montant), avec un seuil minimum de répondants</t>
  </si>
  <si>
    <t xml:space="preserve">Notifications</t>
  </si>
  <si>
    <t xml:space="preserve">Slack, Teams ou e-mail, rappels automatiques</t>
  </si>
  <si>
    <t xml:space="preserve">Admin</t>
  </si>
  <si>
    <t xml:space="preserve">Import CSV, changement de manager avec historique, statistiques agrégées sans accès au contenu</t>
  </si>
  <si>
    <t xml:space="preserve">Tableau de bord d'équipe (US-19), propositions de personnes par les utilisateurs (US-18), relance manuelle d'un retardataire</t>
  </si>
  <si>
    <t xml:space="preserve">Visibilité et profils</t>
  </si>
  <si>
    <t xml:space="preserve">Visibilité des résultats paramétrable par l'Admin, profils métier (RH, direction), statistiques agrégées</t>
  </si>
  <si>
    <t xml:space="preserve">Autres</t>
  </si>
  <si>
    <t xml:space="preserve">Export PDF pour l'entretien annuel, feedback spontané, campagnes en masse, pipeline CI/CD en enabler</t>
  </si>
</sst>
</file>

<file path=xl/styles.xml><?xml version="1.0" encoding="utf-8"?>
<styleSheet xmlns="http://schemas.openxmlformats.org/spreadsheetml/2006/main">
  <numFmts count="5">
    <numFmt numFmtId="164" formatCode="General"/>
    <numFmt numFmtId="165" formatCode="0.0"/>
    <numFmt numFmtId="166" formatCode="0"/>
    <numFmt numFmtId="167" formatCode="0%"/>
    <numFmt numFmtId="168" formatCode="0.00"/>
  </numFmts>
  <fonts count="10">
    <font>
      <sz val="11"/>
      <color theme="1"/>
      <name val="Calibri"/>
      <family val="2"/>
      <charset val="1"/>
    </font>
    <font>
      <sz val="10"/>
      <name val="Arial"/>
      <family val="0"/>
    </font>
    <font>
      <sz val="10"/>
      <name val="Arial"/>
      <family val="0"/>
    </font>
    <font>
      <sz val="10"/>
      <name val="Arial"/>
      <family val="0"/>
    </font>
    <font>
      <b val="true"/>
      <sz val="14"/>
      <color rgb="FF111821"/>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i val="true"/>
      <sz val="9"/>
      <name val="Arial"/>
      <family val="0"/>
      <charset val="1"/>
    </font>
  </fonts>
  <fills count="6">
    <fill>
      <patternFill patternType="none"/>
    </fill>
    <fill>
      <patternFill patternType="gray125"/>
    </fill>
    <fill>
      <patternFill patternType="solid">
        <fgColor rgb="FF111821"/>
        <bgColor rgb="FF000000"/>
      </patternFill>
    </fill>
    <fill>
      <patternFill patternType="solid">
        <fgColor rgb="FFFFFF99"/>
        <bgColor rgb="FFF7F6F3"/>
      </patternFill>
    </fill>
    <fill>
      <patternFill patternType="solid">
        <fgColor rgb="FFFBE4EC"/>
        <bgColor rgb="FFF7F6F3"/>
      </patternFill>
    </fill>
    <fill>
      <patternFill patternType="solid">
        <fgColor rgb="FFF7F6F3"/>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7" fontId="6" fillId="0" borderId="1" xfId="0" applyFont="true" applyBorder="true" applyAlignment="true" applyProtection="false">
      <alignment horizontal="general" vertical="top" textRotation="0" wrapText="tru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8" fontId="6" fillId="0" borderId="1" xfId="0" applyFont="true" applyBorder="true" applyAlignment="true" applyProtection="false">
      <alignment horizontal="general" vertical="top" textRotation="0" wrapText="true" indent="0" shrinkToFit="false"/>
      <protection locked="true" hidden="false"/>
    </xf>
    <xf numFmtId="168"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11821"/>
          <bgColor rgb="FF000000"/>
        </patternFill>
      </fill>
    </dxf>
    <dxf>
      <fill>
        <patternFill patternType="solid">
          <fgColor rgb="FFF7F6F3"/>
          <bgColor rgb="FF000000"/>
        </patternFill>
      </fill>
    </dxf>
    <dxf>
      <fill>
        <patternFill patternType="solid">
          <fgColor rgb="FFFBE4E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7F6F3"/>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4EC"/>
      <rgbColor rgb="FF3366FF"/>
      <rgbColor rgb="FF33CCCC"/>
      <rgbColor rgb="FF99CC00"/>
      <rgbColor rgb="FFFFCC00"/>
      <rgbColor rgb="FFFF9900"/>
      <rgbColor rgb="FFFF6600"/>
      <rgbColor rgb="FF666699"/>
      <rgbColor rgb="FF969696"/>
      <rgbColor rgb="FF003366"/>
      <rgbColor rgb="FF339966"/>
      <rgbColor rgb="FF11182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160560</xdr:rowOff>
    </xdr:from>
    <xdr:to>
      <xdr:col>12</xdr:col>
      <xdr:colOff>340920</xdr:colOff>
      <xdr:row>27</xdr:row>
      <xdr:rowOff>65160</xdr:rowOff>
    </xdr:to>
    <xdr:pic>
      <xdr:nvPicPr>
        <xdr:cNvPr id="0" name="Image 1" descr="Picture"/>
        <xdr:cNvPicPr/>
      </xdr:nvPicPr>
      <xdr:blipFill>
        <a:blip r:embed="rId1"/>
        <a:stretch/>
      </xdr:blipFill>
      <xdr:spPr>
        <a:xfrm>
          <a:off x="0" y="380880"/>
          <a:ext cx="9715320" cy="48574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28"/>
  </cols>
  <sheetData>
    <row r="1" customFormat="false" ht="17.35" hidden="false" customHeight="false" outlineLevel="0" collapsed="false">
      <c r="A1" s="1" t="s">
        <v>0</v>
      </c>
    </row>
    <row r="3" customFormat="false" ht="48" hidden="false" customHeight="true" outlineLevel="0" collapsed="false">
      <c r="A3" s="2" t="s">
        <v>1</v>
      </c>
      <c r="B3" s="3" t="s">
        <v>2</v>
      </c>
      <c r="C3" s="3"/>
      <c r="D3" s="3"/>
      <c r="E3" s="3"/>
    </row>
    <row r="4" customFormat="false" ht="48" hidden="false" customHeight="true" outlineLevel="0" collapsed="false">
      <c r="A4" s="2" t="s">
        <v>3</v>
      </c>
      <c r="B4" s="3" t="s">
        <v>4</v>
      </c>
      <c r="C4" s="3"/>
      <c r="D4" s="3"/>
      <c r="E4" s="3"/>
    </row>
    <row r="5" customFormat="false" ht="33.75" hidden="false" customHeight="true" outlineLevel="0" collapsed="false">
      <c r="A5" s="2" t="s">
        <v>5</v>
      </c>
      <c r="B5" s="3" t="s">
        <v>6</v>
      </c>
      <c r="C5" s="3"/>
      <c r="D5" s="3"/>
      <c r="E5" s="3"/>
    </row>
    <row r="6" customFormat="false" ht="48" hidden="false" customHeight="true" outlineLevel="0" collapsed="false">
      <c r="A6" s="2" t="s">
        <v>7</v>
      </c>
      <c r="B6" s="3" t="s">
        <v>8</v>
      </c>
      <c r="C6" s="3"/>
      <c r="D6" s="3"/>
      <c r="E6" s="3"/>
    </row>
    <row r="7" customFormat="false" ht="33.75" hidden="false" customHeight="true" outlineLevel="0" collapsed="false">
      <c r="A7" s="2" t="s">
        <v>9</v>
      </c>
      <c r="B7" s="3" t="s">
        <v>10</v>
      </c>
      <c r="C7" s="3"/>
      <c r="D7" s="3"/>
      <c r="E7" s="3"/>
    </row>
    <row r="8" customFormat="false" ht="48" hidden="false" customHeight="true" outlineLevel="0" collapsed="false">
      <c r="A8" s="2" t="s">
        <v>11</v>
      </c>
      <c r="B8" s="3" t="s">
        <v>12</v>
      </c>
      <c r="C8" s="3"/>
      <c r="D8" s="3"/>
      <c r="E8" s="3"/>
    </row>
    <row r="9" customFormat="false" ht="48" hidden="false" customHeight="true" outlineLevel="0" collapsed="false">
      <c r="A9" s="2" t="s">
        <v>13</v>
      </c>
      <c r="B9" s="3" t="s">
        <v>14</v>
      </c>
      <c r="C9" s="3"/>
      <c r="D9" s="3"/>
      <c r="E9" s="3"/>
    </row>
    <row r="10" customFormat="false" ht="33.75" hidden="false" customHeight="true" outlineLevel="0" collapsed="false">
      <c r="A10" s="2" t="s">
        <v>15</v>
      </c>
      <c r="B10" s="3" t="s">
        <v>16</v>
      </c>
      <c r="C10" s="3"/>
      <c r="D10" s="3"/>
      <c r="E10" s="3"/>
    </row>
    <row r="12" customFormat="false" ht="15" hidden="false" customHeight="false" outlineLevel="0" collapsed="false">
      <c r="A12" s="4" t="s">
        <v>17</v>
      </c>
    </row>
    <row r="13" customFormat="false" ht="15" hidden="false" customHeight="false" outlineLevel="0" collapsed="false">
      <c r="A13" s="5" t="s">
        <v>18</v>
      </c>
      <c r="B13" s="5" t="s">
        <v>19</v>
      </c>
      <c r="C13" s="5" t="s">
        <v>20</v>
      </c>
    </row>
    <row r="14" customFormat="false" ht="15" hidden="false" customHeight="false" outlineLevel="0" collapsed="false">
      <c r="A14" s="6" t="s">
        <v>21</v>
      </c>
      <c r="B14" s="7" t="n">
        <v>4</v>
      </c>
      <c r="C14" s="7" t="n">
        <v>4</v>
      </c>
    </row>
    <row r="15" customFormat="false" ht="15" hidden="false" customHeight="false" outlineLevel="0" collapsed="false">
      <c r="A15" s="6" t="s">
        <v>22</v>
      </c>
      <c r="B15" s="7" t="n">
        <v>10</v>
      </c>
      <c r="C15" s="7" t="n">
        <v>10</v>
      </c>
    </row>
    <row r="16" customFormat="false" ht="15" hidden="false" customHeight="false" outlineLevel="0" collapsed="false">
      <c r="A16" s="6" t="s">
        <v>23</v>
      </c>
      <c r="B16" s="7" t="n">
        <v>1.5</v>
      </c>
      <c r="C16" s="6" t="n">
        <f aca="false">B16/2</f>
        <v>0.75</v>
      </c>
    </row>
    <row r="17" customFormat="false" ht="15" hidden="false" customHeight="false" outlineLevel="0" collapsed="false">
      <c r="A17" s="6" t="s">
        <v>24</v>
      </c>
      <c r="B17" s="7" t="n">
        <v>3.5</v>
      </c>
      <c r="C17" s="6" t="n">
        <f aca="false">B17/2</f>
        <v>1.75</v>
      </c>
    </row>
    <row r="19" customFormat="false" ht="15" hidden="false" customHeight="false" outlineLevel="0" collapsed="false">
      <c r="A19" s="5" t="s">
        <v>25</v>
      </c>
      <c r="B19" s="5" t="s">
        <v>19</v>
      </c>
      <c r="C19" s="5" t="s">
        <v>20</v>
      </c>
    </row>
    <row r="20" customFormat="false" ht="15" hidden="false" customHeight="false" outlineLevel="0" collapsed="false">
      <c r="A20" s="8" t="s">
        <v>26</v>
      </c>
      <c r="B20" s="9" t="n">
        <f aca="false">B14*B15</f>
        <v>40</v>
      </c>
      <c r="C20" s="9" t="n">
        <f aca="false">C14*C15</f>
        <v>40</v>
      </c>
    </row>
    <row r="21" customFormat="false" ht="15" hidden="false" customHeight="false" outlineLevel="0" collapsed="false">
      <c r="A21" s="8" t="s">
        <v>27</v>
      </c>
      <c r="B21" s="10" t="n">
        <f aca="false">COUNTIFS(Backlog!$D$2:$D$21,"Must",Backlog!$E$2:$E$21,"S")</f>
        <v>8</v>
      </c>
      <c r="C21" s="10" t="n">
        <f aca="false">COUNTIFS(Backlog!$D$2:$D$21,"Must",Backlog!$E$2:$E$21,"S")</f>
        <v>8</v>
      </c>
    </row>
    <row r="22" customFormat="false" ht="15" hidden="false" customHeight="false" outlineLevel="0" collapsed="false">
      <c r="A22" s="8" t="s">
        <v>28</v>
      </c>
      <c r="B22" s="10" t="n">
        <f aca="false">COUNTIFS(Backlog!$D$2:$D$21,"Must",Backlog!$E$2:$E$21,"M")</f>
        <v>4</v>
      </c>
      <c r="C22" s="10" t="n">
        <f aca="false">COUNTIFS(Backlog!$D$2:$D$21,"Must",Backlog!$E$2:$E$21,"M")</f>
        <v>4</v>
      </c>
    </row>
    <row r="23" customFormat="false" ht="15" hidden="false" customHeight="false" outlineLevel="0" collapsed="false">
      <c r="A23" s="8" t="s">
        <v>29</v>
      </c>
      <c r="B23" s="9" t="n">
        <f aca="false">B21*B16+B22*B17</f>
        <v>26</v>
      </c>
      <c r="C23" s="9" t="n">
        <f aca="false">C21*C16+C22*C17</f>
        <v>13</v>
      </c>
    </row>
    <row r="24" customFormat="false" ht="15" hidden="false" customHeight="false" outlineLevel="0" collapsed="false">
      <c r="A24" s="8" t="s">
        <v>30</v>
      </c>
      <c r="B24" s="11" t="n">
        <f aca="false">B23/B20</f>
        <v>0.65</v>
      </c>
      <c r="C24" s="11" t="n">
        <f aca="false">C23/C20</f>
        <v>0.325</v>
      </c>
    </row>
    <row r="25" customFormat="false" ht="15" hidden="false" customHeight="false" outlineLevel="0" collapsed="false">
      <c r="A25" s="8" t="s">
        <v>31</v>
      </c>
      <c r="B25" s="10" t="n">
        <f aca="false">COUNTIFS(Backlog!$D$2:$D$21,"Should",Backlog!$E$2:$E$21,"S")</f>
        <v>4</v>
      </c>
      <c r="C25" s="10" t="n">
        <f aca="false">COUNTIFS(Backlog!$D$2:$D$21,"Should",Backlog!$E$2:$E$21,"S")</f>
        <v>4</v>
      </c>
    </row>
    <row r="26" customFormat="false" ht="15" hidden="false" customHeight="false" outlineLevel="0" collapsed="false">
      <c r="A26" s="8" t="s">
        <v>32</v>
      </c>
      <c r="B26" s="10" t="n">
        <f aca="false">COUNTIFS(Backlog!$D$2:$D$21,"Should",Backlog!$E$2:$E$21,"M")</f>
        <v>2</v>
      </c>
      <c r="C26" s="10" t="n">
        <f aca="false">COUNTIFS(Backlog!$D$2:$D$21,"Should",Backlog!$E$2:$E$21,"M")</f>
        <v>2</v>
      </c>
    </row>
    <row r="27" customFormat="false" ht="15" hidden="false" customHeight="false" outlineLevel="0" collapsed="false">
      <c r="A27" s="8" t="s">
        <v>33</v>
      </c>
      <c r="B27" s="9" t="n">
        <f aca="false">B25*B16+B26*B17</f>
        <v>13</v>
      </c>
      <c r="C27" s="9" t="n">
        <f aca="false">C25*C16+C26*C17</f>
        <v>6.5</v>
      </c>
    </row>
    <row r="28" customFormat="false" ht="23.85" hidden="false" customHeight="false" outlineLevel="0" collapsed="false">
      <c r="A28" s="8" t="s">
        <v>34</v>
      </c>
      <c r="B28" s="11" t="n">
        <f aca="false">(B23+B27)/B20</f>
        <v>0.975</v>
      </c>
      <c r="C28" s="11" t="n">
        <f aca="false">(C23+C27)/C20</f>
        <v>0.4875</v>
      </c>
    </row>
    <row r="30" customFormat="false" ht="15" hidden="false" customHeight="false" outlineLevel="0" collapsed="false">
      <c r="A30" s="6" t="s">
        <v>35</v>
      </c>
      <c r="B30" s="12" t="n">
        <v>0.15</v>
      </c>
      <c r="C30" s="12" t="n">
        <v>0.15</v>
      </c>
    </row>
    <row r="31" customFormat="false" ht="15" hidden="false" customHeight="false" outlineLevel="0" collapsed="false">
      <c r="A31" s="6" t="s">
        <v>36</v>
      </c>
      <c r="B31" s="13" t="n">
        <f aca="false">B20*(1-B30)</f>
        <v>34</v>
      </c>
      <c r="C31" s="13" t="n">
        <f aca="false">C20*(1-C30)</f>
        <v>34</v>
      </c>
    </row>
    <row r="32" customFormat="false" ht="15" hidden="false" customHeight="false" outlineLevel="0" collapsed="false">
      <c r="A32" s="6" t="s">
        <v>37</v>
      </c>
      <c r="B32" s="14" t="n">
        <f aca="false">B23/B31</f>
        <v>0.764705882352941</v>
      </c>
      <c r="C32" s="14" t="n">
        <f aca="false">C23/C31</f>
        <v>0.382352941176471</v>
      </c>
    </row>
    <row r="33" customFormat="false" ht="15" hidden="false" customHeight="false" outlineLevel="0" collapsed="false">
      <c r="A33" s="6" t="s">
        <v>38</v>
      </c>
      <c r="B33" s="14" t="n">
        <f aca="false">(B23+B27)/B31</f>
        <v>1.14705882352941</v>
      </c>
      <c r="C33" s="14" t="n">
        <f aca="false">(C23+C27)/C31</f>
        <v>0.573529411764706</v>
      </c>
    </row>
    <row r="35" customFormat="false" ht="27.75" hidden="false" customHeight="true" outlineLevel="0" collapsed="false">
      <c r="A35" s="15" t="s">
        <v>39</v>
      </c>
      <c r="B35" s="15"/>
      <c r="C35" s="15"/>
      <c r="D35" s="15"/>
      <c r="E35" s="15"/>
    </row>
  </sheetData>
  <mergeCells count="9">
    <mergeCell ref="B3:E3"/>
    <mergeCell ref="B4:E4"/>
    <mergeCell ref="B5:E5"/>
    <mergeCell ref="B6:E6"/>
    <mergeCell ref="B7:E7"/>
    <mergeCell ref="B8:E8"/>
    <mergeCell ref="B9:E9"/>
    <mergeCell ref="B10:E10"/>
    <mergeCell ref="A35:E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0"/>
    <col collapsed="false" customWidth="true" hidden="false" outlineLevel="0" max="3" min="3" style="0" width="22"/>
    <col collapsed="false" customWidth="true" hidden="false" outlineLevel="0" max="4" min="4" style="0" width="11"/>
    <col collapsed="false" customWidth="true" hidden="false" outlineLevel="0" max="5" min="5" style="0" width="8"/>
    <col collapsed="false" customWidth="true" hidden="false" outlineLevel="0" max="6" min="6" style="0" width="16"/>
    <col collapsed="false" customWidth="true" hidden="false" outlineLevel="0" max="7" min="7" style="0" width="62"/>
  </cols>
  <sheetData>
    <row r="1" customFormat="false" ht="15" hidden="false" customHeight="false" outlineLevel="0" collapsed="false">
      <c r="A1" s="16" t="s">
        <v>40</v>
      </c>
      <c r="B1" s="16" t="s">
        <v>41</v>
      </c>
      <c r="C1" s="16" t="s">
        <v>42</v>
      </c>
      <c r="D1" s="16" t="s">
        <v>43</v>
      </c>
      <c r="E1" s="16" t="s">
        <v>44</v>
      </c>
      <c r="F1" s="16" t="s">
        <v>45</v>
      </c>
      <c r="G1" s="16" t="s">
        <v>46</v>
      </c>
    </row>
    <row r="2" customFormat="false" ht="15" hidden="false" customHeight="false" outlineLevel="0" collapsed="false">
      <c r="A2" s="17" t="s">
        <v>47</v>
      </c>
      <c r="B2" s="18" t="s">
        <v>48</v>
      </c>
      <c r="C2" s="18" t="s">
        <v>49</v>
      </c>
      <c r="D2" s="18" t="s">
        <v>50</v>
      </c>
      <c r="E2" s="18" t="s">
        <v>51</v>
      </c>
      <c r="F2" s="18" t="s">
        <v>52</v>
      </c>
      <c r="G2" s="18" t="s">
        <v>53</v>
      </c>
    </row>
    <row r="3" customFormat="false" ht="15" hidden="false" customHeight="false" outlineLevel="0" collapsed="false">
      <c r="A3" s="17" t="s">
        <v>54</v>
      </c>
      <c r="B3" s="18" t="s">
        <v>55</v>
      </c>
      <c r="C3" s="18" t="s">
        <v>56</v>
      </c>
      <c r="D3" s="18" t="s">
        <v>50</v>
      </c>
      <c r="E3" s="18" t="s">
        <v>51</v>
      </c>
      <c r="F3" s="18" t="s">
        <v>52</v>
      </c>
      <c r="G3" s="18" t="s">
        <v>57</v>
      </c>
    </row>
    <row r="4" customFormat="false" ht="15" hidden="false" customHeight="false" outlineLevel="0" collapsed="false">
      <c r="A4" s="17" t="s">
        <v>58</v>
      </c>
      <c r="B4" s="18" t="s">
        <v>59</v>
      </c>
      <c r="C4" s="18" t="s">
        <v>60</v>
      </c>
      <c r="D4" s="18" t="s">
        <v>50</v>
      </c>
      <c r="E4" s="18" t="s">
        <v>61</v>
      </c>
      <c r="F4" s="18" t="s">
        <v>62</v>
      </c>
      <c r="G4" s="18" t="s">
        <v>63</v>
      </c>
    </row>
    <row r="5" customFormat="false" ht="15" hidden="false" customHeight="false" outlineLevel="0" collapsed="false">
      <c r="A5" s="17" t="s">
        <v>64</v>
      </c>
      <c r="B5" s="18" t="s">
        <v>65</v>
      </c>
      <c r="C5" s="18" t="s">
        <v>66</v>
      </c>
      <c r="D5" s="18" t="s">
        <v>50</v>
      </c>
      <c r="E5" s="18" t="s">
        <v>61</v>
      </c>
      <c r="F5" s="18" t="s">
        <v>58</v>
      </c>
      <c r="G5" s="18" t="s">
        <v>67</v>
      </c>
    </row>
    <row r="6" customFormat="false" ht="15" hidden="false" customHeight="false" outlineLevel="0" collapsed="false">
      <c r="A6" s="17" t="s">
        <v>68</v>
      </c>
      <c r="B6" s="18" t="s">
        <v>69</v>
      </c>
      <c r="C6" s="18" t="s">
        <v>56</v>
      </c>
      <c r="D6" s="18" t="s">
        <v>50</v>
      </c>
      <c r="E6" s="18" t="s">
        <v>51</v>
      </c>
      <c r="F6" s="18" t="s">
        <v>58</v>
      </c>
      <c r="G6" s="18" t="s">
        <v>70</v>
      </c>
    </row>
    <row r="7" customFormat="false" ht="15" hidden="false" customHeight="false" outlineLevel="0" collapsed="false">
      <c r="A7" s="17" t="s">
        <v>71</v>
      </c>
      <c r="B7" s="18" t="s">
        <v>72</v>
      </c>
      <c r="C7" s="18" t="s">
        <v>56</v>
      </c>
      <c r="D7" s="18" t="s">
        <v>50</v>
      </c>
      <c r="E7" s="18" t="s">
        <v>51</v>
      </c>
      <c r="F7" s="18" t="s">
        <v>68</v>
      </c>
      <c r="G7" s="18" t="s">
        <v>73</v>
      </c>
    </row>
    <row r="8" customFormat="false" ht="15" hidden="false" customHeight="false" outlineLevel="0" collapsed="false">
      <c r="A8" s="17" t="s">
        <v>74</v>
      </c>
      <c r="B8" s="18" t="s">
        <v>75</v>
      </c>
      <c r="C8" s="18" t="s">
        <v>56</v>
      </c>
      <c r="D8" s="18" t="s">
        <v>50</v>
      </c>
      <c r="E8" s="18" t="s">
        <v>51</v>
      </c>
      <c r="F8" s="18" t="s">
        <v>71</v>
      </c>
      <c r="G8" s="18" t="s">
        <v>76</v>
      </c>
    </row>
    <row r="9" customFormat="false" ht="15" hidden="false" customHeight="false" outlineLevel="0" collapsed="false">
      <c r="A9" s="17" t="s">
        <v>77</v>
      </c>
      <c r="B9" s="18" t="s">
        <v>78</v>
      </c>
      <c r="C9" s="18" t="s">
        <v>60</v>
      </c>
      <c r="D9" s="18" t="s">
        <v>50</v>
      </c>
      <c r="E9" s="18" t="s">
        <v>51</v>
      </c>
      <c r="F9" s="18" t="s">
        <v>68</v>
      </c>
      <c r="G9" s="18" t="s">
        <v>79</v>
      </c>
    </row>
    <row r="10" customFormat="false" ht="15" hidden="false" customHeight="false" outlineLevel="0" collapsed="false">
      <c r="A10" s="17" t="s">
        <v>80</v>
      </c>
      <c r="B10" s="18" t="s">
        <v>81</v>
      </c>
      <c r="C10" s="18" t="s">
        <v>60</v>
      </c>
      <c r="D10" s="18" t="s">
        <v>50</v>
      </c>
      <c r="E10" s="18" t="s">
        <v>61</v>
      </c>
      <c r="F10" s="18" t="s">
        <v>77</v>
      </c>
      <c r="G10" s="18" t="s">
        <v>82</v>
      </c>
    </row>
    <row r="11" customFormat="false" ht="15" hidden="false" customHeight="false" outlineLevel="0" collapsed="false">
      <c r="A11" s="17" t="s">
        <v>83</v>
      </c>
      <c r="B11" s="18" t="s">
        <v>84</v>
      </c>
      <c r="C11" s="18" t="s">
        <v>56</v>
      </c>
      <c r="D11" s="18" t="s">
        <v>50</v>
      </c>
      <c r="E11" s="18" t="s">
        <v>51</v>
      </c>
      <c r="F11" s="18" t="s">
        <v>80</v>
      </c>
      <c r="G11" s="18" t="s">
        <v>85</v>
      </c>
    </row>
    <row r="12" customFormat="false" ht="15" hidden="false" customHeight="false" outlineLevel="0" collapsed="false">
      <c r="A12" s="17" t="s">
        <v>86</v>
      </c>
      <c r="B12" s="18" t="s">
        <v>87</v>
      </c>
      <c r="C12" s="18" t="s">
        <v>56</v>
      </c>
      <c r="D12" s="18" t="s">
        <v>50</v>
      </c>
      <c r="E12" s="18" t="s">
        <v>61</v>
      </c>
      <c r="F12" s="18" t="s">
        <v>83</v>
      </c>
      <c r="G12" s="18" t="s">
        <v>88</v>
      </c>
    </row>
    <row r="13" customFormat="false" ht="15" hidden="false" customHeight="false" outlineLevel="0" collapsed="false">
      <c r="A13" s="17" t="s">
        <v>89</v>
      </c>
      <c r="B13" s="18" t="s">
        <v>90</v>
      </c>
      <c r="C13" s="18" t="s">
        <v>60</v>
      </c>
      <c r="D13" s="18" t="s">
        <v>50</v>
      </c>
      <c r="E13" s="18" t="s">
        <v>51</v>
      </c>
      <c r="F13" s="18" t="s">
        <v>86</v>
      </c>
      <c r="G13" s="18" t="s">
        <v>91</v>
      </c>
    </row>
    <row r="14" customFormat="false" ht="15" hidden="false" customHeight="false" outlineLevel="0" collapsed="false">
      <c r="A14" s="19" t="s">
        <v>92</v>
      </c>
      <c r="B14" s="20" t="s">
        <v>93</v>
      </c>
      <c r="C14" s="20" t="s">
        <v>66</v>
      </c>
      <c r="D14" s="20" t="s">
        <v>15</v>
      </c>
      <c r="E14" s="20" t="s">
        <v>61</v>
      </c>
      <c r="F14" s="20" t="s">
        <v>54</v>
      </c>
      <c r="G14" s="20" t="s">
        <v>94</v>
      </c>
    </row>
    <row r="15" customFormat="false" ht="15" hidden="false" customHeight="false" outlineLevel="0" collapsed="false">
      <c r="A15" s="19" t="s">
        <v>95</v>
      </c>
      <c r="B15" s="20" t="s">
        <v>96</v>
      </c>
      <c r="C15" s="20" t="s">
        <v>56</v>
      </c>
      <c r="D15" s="20" t="s">
        <v>15</v>
      </c>
      <c r="E15" s="20" t="s">
        <v>51</v>
      </c>
      <c r="F15" s="20" t="s">
        <v>58</v>
      </c>
      <c r="G15" s="20" t="s">
        <v>97</v>
      </c>
    </row>
    <row r="16" customFormat="false" ht="15" hidden="false" customHeight="false" outlineLevel="0" collapsed="false">
      <c r="A16" s="19" t="s">
        <v>98</v>
      </c>
      <c r="B16" s="20" t="s">
        <v>99</v>
      </c>
      <c r="C16" s="20" t="s">
        <v>56</v>
      </c>
      <c r="D16" s="20" t="s">
        <v>15</v>
      </c>
      <c r="E16" s="20" t="s">
        <v>61</v>
      </c>
      <c r="F16" s="20" t="s">
        <v>68</v>
      </c>
      <c r="G16" s="20" t="s">
        <v>100</v>
      </c>
    </row>
    <row r="17" customFormat="false" ht="15" hidden="false" customHeight="false" outlineLevel="0" collapsed="false">
      <c r="A17" s="19" t="s">
        <v>101</v>
      </c>
      <c r="B17" s="20" t="s">
        <v>102</v>
      </c>
      <c r="C17" s="20" t="s">
        <v>60</v>
      </c>
      <c r="D17" s="20" t="s">
        <v>15</v>
      </c>
      <c r="E17" s="20" t="s">
        <v>51</v>
      </c>
      <c r="F17" s="20" t="s">
        <v>77</v>
      </c>
      <c r="G17" s="20" t="s">
        <v>103</v>
      </c>
    </row>
    <row r="18" customFormat="false" ht="15" hidden="false" customHeight="false" outlineLevel="0" collapsed="false">
      <c r="A18" s="19" t="s">
        <v>104</v>
      </c>
      <c r="B18" s="20" t="s">
        <v>105</v>
      </c>
      <c r="C18" s="20" t="s">
        <v>66</v>
      </c>
      <c r="D18" s="20" t="s">
        <v>15</v>
      </c>
      <c r="E18" s="20" t="s">
        <v>51</v>
      </c>
      <c r="F18" s="20" t="s">
        <v>89</v>
      </c>
      <c r="G18" s="20" t="s">
        <v>106</v>
      </c>
    </row>
    <row r="19" customFormat="false" ht="15" hidden="false" customHeight="false" outlineLevel="0" collapsed="false">
      <c r="A19" s="19" t="s">
        <v>107</v>
      </c>
      <c r="B19" s="20" t="s">
        <v>108</v>
      </c>
      <c r="C19" s="20" t="s">
        <v>56</v>
      </c>
      <c r="D19" s="20" t="s">
        <v>15</v>
      </c>
      <c r="E19" s="20" t="s">
        <v>51</v>
      </c>
      <c r="F19" s="20" t="s">
        <v>86</v>
      </c>
      <c r="G19" s="20" t="s">
        <v>109</v>
      </c>
    </row>
    <row r="20" customFormat="false" ht="15" hidden="false" customHeight="false" outlineLevel="0" collapsed="false">
      <c r="A20" s="21" t="s">
        <v>110</v>
      </c>
      <c r="B20" s="8" t="s">
        <v>111</v>
      </c>
      <c r="C20" s="8" t="s">
        <v>60</v>
      </c>
      <c r="D20" s="8" t="s">
        <v>112</v>
      </c>
      <c r="E20" s="8"/>
      <c r="F20" s="8" t="s">
        <v>68</v>
      </c>
      <c r="G20" s="8" t="s">
        <v>113</v>
      </c>
    </row>
    <row r="21" customFormat="false" ht="15" hidden="false" customHeight="false" outlineLevel="0" collapsed="false">
      <c r="A21" s="21" t="s">
        <v>114</v>
      </c>
      <c r="B21" s="8" t="s">
        <v>115</v>
      </c>
      <c r="C21" s="8" t="s">
        <v>66</v>
      </c>
      <c r="D21" s="8" t="s">
        <v>112</v>
      </c>
      <c r="E21" s="8"/>
      <c r="F21" s="8" t="s">
        <v>83</v>
      </c>
      <c r="G21" s="8" t="s">
        <v>116</v>
      </c>
    </row>
    <row r="23" customFormat="false" ht="15" hidden="false" customHeight="false" outlineLevel="0" collapsed="false">
      <c r="A23" s="4" t="s">
        <v>117</v>
      </c>
    </row>
    <row r="24" customFormat="false" ht="30" hidden="false" customHeight="true" outlineLevel="0" collapsed="false">
      <c r="A24" s="16" t="s">
        <v>44</v>
      </c>
      <c r="B24" s="16" t="s">
        <v>118</v>
      </c>
      <c r="C24" s="16" t="s">
        <v>119</v>
      </c>
      <c r="D24" s="16" t="s">
        <v>120</v>
      </c>
    </row>
    <row r="25" customFormat="false" ht="30" hidden="false" customHeight="true" outlineLevel="0" collapsed="false">
      <c r="A25" s="21" t="s">
        <v>51</v>
      </c>
      <c r="B25" s="8" t="s">
        <v>121</v>
      </c>
      <c r="C25" s="22" t="n">
        <f aca="false">Synthèse!B16</f>
        <v>1.5</v>
      </c>
      <c r="D25" s="22" t="n">
        <f aca="false">Synthèse!C16</f>
        <v>0.75</v>
      </c>
    </row>
    <row r="26" customFormat="false" ht="30" hidden="false" customHeight="true" outlineLevel="0" collapsed="false">
      <c r="A26" s="21" t="s">
        <v>61</v>
      </c>
      <c r="B26" s="8" t="s">
        <v>122</v>
      </c>
      <c r="C26" s="22" t="n">
        <f aca="false">Synthèse!B17</f>
        <v>3.5</v>
      </c>
      <c r="D26" s="22" t="n">
        <f aca="false">Synthèse!C17</f>
        <v>1.75</v>
      </c>
    </row>
    <row r="27" customFormat="false" ht="30" hidden="false" customHeight="true" outlineLevel="0" collapsed="false">
      <c r="A27" s="21" t="s">
        <v>123</v>
      </c>
      <c r="B27" s="8" t="s">
        <v>124</v>
      </c>
      <c r="C27" s="23" t="n">
        <v>6</v>
      </c>
      <c r="D27" s="22" t="n">
        <f aca="false">C28/2</f>
        <v>0</v>
      </c>
    </row>
    <row r="28" customFormat="false" ht="15" hidden="false" customHeight="false" outlineLevel="0" collapsed="false">
      <c r="A28" s="24" t="s">
        <v>125</v>
      </c>
    </row>
  </sheetData>
  <autoFilter ref="A1:G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12" min="2" style="0" width="11"/>
  </cols>
  <sheetData>
    <row r="1" customFormat="false" ht="17.35" hidden="false" customHeight="false" outlineLevel="0" collapsed="false">
      <c r="A1" s="1" t="s">
        <v>126</v>
      </c>
    </row>
    <row r="30" customFormat="false" ht="33.75" hidden="false" customHeight="true" outlineLevel="0" collapsed="false">
      <c r="A30" s="2" t="s">
        <v>127</v>
      </c>
      <c r="B30" s="3" t="s">
        <v>128</v>
      </c>
      <c r="C30" s="3"/>
      <c r="D30" s="3"/>
      <c r="E30" s="3"/>
      <c r="F30" s="3"/>
      <c r="G30" s="3"/>
      <c r="H30" s="3"/>
      <c r="I30" s="3"/>
      <c r="J30" s="3"/>
      <c r="K30" s="3"/>
      <c r="L30" s="3"/>
    </row>
    <row r="31" customFormat="false" ht="33.75" hidden="false" customHeight="true" outlineLevel="0" collapsed="false">
      <c r="A31" s="2" t="s">
        <v>129</v>
      </c>
      <c r="B31" s="3" t="s">
        <v>130</v>
      </c>
      <c r="C31" s="3"/>
      <c r="D31" s="3"/>
      <c r="E31" s="3"/>
      <c r="F31" s="3"/>
      <c r="G31" s="3"/>
      <c r="H31" s="3"/>
      <c r="I31" s="3"/>
      <c r="J31" s="3"/>
      <c r="K31" s="3"/>
      <c r="L31" s="3"/>
    </row>
  </sheetData>
  <mergeCells count="2">
    <mergeCell ref="B30:L30"/>
    <mergeCell ref="B31:L3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60"/>
    <col collapsed="false" customWidth="true" hidden="false" outlineLevel="0" max="4" min="4" style="0" width="100"/>
  </cols>
  <sheetData>
    <row r="1" customFormat="false" ht="15" hidden="false" customHeight="false" outlineLevel="0" collapsed="false">
      <c r="A1" s="16" t="s">
        <v>40</v>
      </c>
      <c r="B1" s="16" t="s">
        <v>43</v>
      </c>
      <c r="C1" s="16" t="s">
        <v>41</v>
      </c>
      <c r="D1" s="16" t="s">
        <v>131</v>
      </c>
    </row>
    <row r="2" customFormat="false" ht="35.05" hidden="false" customHeight="false" outlineLevel="0" collapsed="false">
      <c r="A2" s="17" t="s">
        <v>47</v>
      </c>
      <c r="B2" s="18" t="s">
        <v>50</v>
      </c>
      <c r="C2" s="18" t="s">
        <v>132</v>
      </c>
      <c r="D2" s="18" t="s">
        <v>133</v>
      </c>
    </row>
    <row r="3" customFormat="false" ht="35.05" hidden="false" customHeight="false" outlineLevel="0" collapsed="false">
      <c r="A3" s="17" t="s">
        <v>54</v>
      </c>
      <c r="B3" s="18" t="s">
        <v>50</v>
      </c>
      <c r="C3" s="18" t="s">
        <v>134</v>
      </c>
      <c r="D3" s="18" t="s">
        <v>135</v>
      </c>
    </row>
    <row r="4" customFormat="false" ht="35.05" hidden="false" customHeight="false" outlineLevel="0" collapsed="false">
      <c r="A4" s="17" t="s">
        <v>58</v>
      </c>
      <c r="B4" s="18" t="s">
        <v>50</v>
      </c>
      <c r="C4" s="18" t="s">
        <v>136</v>
      </c>
      <c r="D4" s="18" t="s">
        <v>137</v>
      </c>
    </row>
    <row r="5" customFormat="false" ht="35.05" hidden="false" customHeight="false" outlineLevel="0" collapsed="false">
      <c r="A5" s="17" t="s">
        <v>64</v>
      </c>
      <c r="B5" s="18" t="s">
        <v>50</v>
      </c>
      <c r="C5" s="18" t="s">
        <v>138</v>
      </c>
      <c r="D5" s="18" t="s">
        <v>139</v>
      </c>
    </row>
    <row r="6" customFormat="false" ht="46.25" hidden="false" customHeight="false" outlineLevel="0" collapsed="false">
      <c r="A6" s="17" t="s">
        <v>68</v>
      </c>
      <c r="B6" s="18" t="s">
        <v>50</v>
      </c>
      <c r="C6" s="18" t="s">
        <v>140</v>
      </c>
      <c r="D6" s="18" t="s">
        <v>141</v>
      </c>
    </row>
    <row r="7" customFormat="false" ht="46.25" hidden="false" customHeight="false" outlineLevel="0" collapsed="false">
      <c r="A7" s="17" t="s">
        <v>71</v>
      </c>
      <c r="B7" s="18" t="s">
        <v>50</v>
      </c>
      <c r="C7" s="18" t="s">
        <v>142</v>
      </c>
      <c r="D7" s="18" t="s">
        <v>143</v>
      </c>
    </row>
    <row r="8" customFormat="false" ht="57.45" hidden="false" customHeight="false" outlineLevel="0" collapsed="false">
      <c r="A8" s="17" t="s">
        <v>74</v>
      </c>
      <c r="B8" s="18" t="s">
        <v>50</v>
      </c>
      <c r="C8" s="18" t="s">
        <v>144</v>
      </c>
      <c r="D8" s="18" t="s">
        <v>145</v>
      </c>
    </row>
    <row r="9" customFormat="false" ht="35.05" hidden="false" customHeight="false" outlineLevel="0" collapsed="false">
      <c r="A9" s="17" t="s">
        <v>77</v>
      </c>
      <c r="B9" s="18" t="s">
        <v>50</v>
      </c>
      <c r="C9" s="18" t="s">
        <v>146</v>
      </c>
      <c r="D9" s="18" t="s">
        <v>147</v>
      </c>
    </row>
    <row r="10" customFormat="false" ht="46.25" hidden="false" customHeight="false" outlineLevel="0" collapsed="false">
      <c r="A10" s="17" t="s">
        <v>80</v>
      </c>
      <c r="B10" s="18" t="s">
        <v>50</v>
      </c>
      <c r="C10" s="18" t="s">
        <v>148</v>
      </c>
      <c r="D10" s="18" t="s">
        <v>149</v>
      </c>
    </row>
    <row r="11" customFormat="false" ht="57.45" hidden="false" customHeight="false" outlineLevel="0" collapsed="false">
      <c r="A11" s="17" t="s">
        <v>83</v>
      </c>
      <c r="B11" s="18" t="s">
        <v>50</v>
      </c>
      <c r="C11" s="18" t="s">
        <v>150</v>
      </c>
      <c r="D11" s="18" t="s">
        <v>151</v>
      </c>
    </row>
    <row r="12" customFormat="false" ht="57.45" hidden="false" customHeight="false" outlineLevel="0" collapsed="false">
      <c r="A12" s="17" t="s">
        <v>86</v>
      </c>
      <c r="B12" s="18" t="s">
        <v>50</v>
      </c>
      <c r="C12" s="18" t="s">
        <v>152</v>
      </c>
      <c r="D12" s="18" t="s">
        <v>153</v>
      </c>
    </row>
    <row r="13" customFormat="false" ht="46.25" hidden="false" customHeight="false" outlineLevel="0" collapsed="false">
      <c r="A13" s="17" t="s">
        <v>89</v>
      </c>
      <c r="B13" s="18" t="s">
        <v>50</v>
      </c>
      <c r="C13" s="18" t="s">
        <v>154</v>
      </c>
      <c r="D13" s="18" t="s">
        <v>155</v>
      </c>
    </row>
    <row r="14" customFormat="false" ht="57.45" hidden="false" customHeight="false" outlineLevel="0" collapsed="false">
      <c r="A14" s="19" t="s">
        <v>92</v>
      </c>
      <c r="B14" s="20" t="s">
        <v>15</v>
      </c>
      <c r="C14" s="20" t="s">
        <v>156</v>
      </c>
      <c r="D14" s="20" t="s">
        <v>157</v>
      </c>
    </row>
    <row r="15" customFormat="false" ht="23.85" hidden="false" customHeight="false" outlineLevel="0" collapsed="false">
      <c r="A15" s="19" t="s">
        <v>95</v>
      </c>
      <c r="B15" s="20" t="s">
        <v>15</v>
      </c>
      <c r="C15" s="20" t="s">
        <v>158</v>
      </c>
      <c r="D15" s="20" t="s">
        <v>159</v>
      </c>
    </row>
    <row r="16" customFormat="false" ht="46.25" hidden="false" customHeight="false" outlineLevel="0" collapsed="false">
      <c r="A16" s="19" t="s">
        <v>98</v>
      </c>
      <c r="B16" s="20" t="s">
        <v>15</v>
      </c>
      <c r="C16" s="20" t="s">
        <v>160</v>
      </c>
      <c r="D16" s="20" t="s">
        <v>161</v>
      </c>
    </row>
    <row r="17" customFormat="false" ht="35.05" hidden="false" customHeight="false" outlineLevel="0" collapsed="false">
      <c r="A17" s="19" t="s">
        <v>101</v>
      </c>
      <c r="B17" s="20" t="s">
        <v>15</v>
      </c>
      <c r="C17" s="20" t="s">
        <v>162</v>
      </c>
      <c r="D17" s="20" t="s">
        <v>163</v>
      </c>
    </row>
    <row r="18" customFormat="false" ht="35.05" hidden="false" customHeight="false" outlineLevel="0" collapsed="false">
      <c r="A18" s="19" t="s">
        <v>104</v>
      </c>
      <c r="B18" s="20" t="s">
        <v>15</v>
      </c>
      <c r="C18" s="20" t="s">
        <v>164</v>
      </c>
      <c r="D18" s="20" t="s">
        <v>165</v>
      </c>
    </row>
    <row r="19" customFormat="false" ht="35.05" hidden="false" customHeight="false" outlineLevel="0" collapsed="false">
      <c r="A19" s="19" t="s">
        <v>107</v>
      </c>
      <c r="B19" s="20" t="s">
        <v>15</v>
      </c>
      <c r="C19" s="20" t="s">
        <v>166</v>
      </c>
      <c r="D19" s="20" t="s">
        <v>167</v>
      </c>
    </row>
    <row r="20" customFormat="false" ht="35.05" hidden="false" customHeight="false" outlineLevel="0" collapsed="false">
      <c r="A20" s="21" t="s">
        <v>110</v>
      </c>
      <c r="B20" s="8" t="s">
        <v>112</v>
      </c>
      <c r="C20" s="8" t="s">
        <v>168</v>
      </c>
      <c r="D20" s="8" t="s">
        <v>169</v>
      </c>
    </row>
    <row r="21" customFormat="false" ht="23.85" hidden="false" customHeight="false" outlineLevel="0" collapsed="false">
      <c r="A21" s="21" t="s">
        <v>114</v>
      </c>
      <c r="B21" s="8" t="s">
        <v>112</v>
      </c>
      <c r="C21" s="8" t="s">
        <v>170</v>
      </c>
      <c r="D21" s="8" t="s">
        <v>169</v>
      </c>
    </row>
    <row r="23" customFormat="false" ht="15" hidden="false" customHeight="false" outlineLevel="0" collapsed="false">
      <c r="A23" s="24" t="s">
        <v>171</v>
      </c>
    </row>
  </sheetData>
  <autoFilter ref="A1:D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52"/>
    <col collapsed="false" customWidth="true" hidden="false" outlineLevel="0" max="4" min="4" style="0" width="60"/>
  </cols>
  <sheetData>
    <row r="1" customFormat="false" ht="15" hidden="false" customHeight="false" outlineLevel="0" collapsed="false">
      <c r="A1" s="16" t="s">
        <v>172</v>
      </c>
      <c r="B1" s="16" t="s">
        <v>173</v>
      </c>
      <c r="C1" s="16" t="s">
        <v>174</v>
      </c>
      <c r="D1" s="16" t="s">
        <v>175</v>
      </c>
    </row>
    <row r="2" customFormat="false" ht="23.85" hidden="false" customHeight="false" outlineLevel="0" collapsed="false">
      <c r="A2" s="8" t="s">
        <v>176</v>
      </c>
      <c r="B2" s="8" t="s">
        <v>177</v>
      </c>
      <c r="C2" s="8" t="s">
        <v>178</v>
      </c>
      <c r="D2" s="8" t="s">
        <v>179</v>
      </c>
    </row>
    <row r="3" customFormat="false" ht="15" hidden="false" customHeight="false" outlineLevel="0" collapsed="false">
      <c r="A3" s="8" t="s">
        <v>180</v>
      </c>
      <c r="B3" s="8" t="s">
        <v>181</v>
      </c>
      <c r="C3" s="8" t="s">
        <v>182</v>
      </c>
      <c r="D3" s="8" t="s">
        <v>183</v>
      </c>
    </row>
    <row r="4" customFormat="false" ht="23.85" hidden="false" customHeight="false" outlineLevel="0" collapsed="false">
      <c r="A4" s="8" t="s">
        <v>184</v>
      </c>
      <c r="B4" s="8" t="s">
        <v>185</v>
      </c>
      <c r="C4" s="8" t="s">
        <v>186</v>
      </c>
      <c r="D4" s="8" t="s">
        <v>187</v>
      </c>
    </row>
    <row r="5" customFormat="false" ht="23.85" hidden="false" customHeight="false" outlineLevel="0" collapsed="false">
      <c r="A5" s="8" t="s">
        <v>188</v>
      </c>
      <c r="B5" s="8" t="s">
        <v>189</v>
      </c>
      <c r="C5" s="8" t="s">
        <v>190</v>
      </c>
      <c r="D5" s="8" t="s">
        <v>191</v>
      </c>
    </row>
    <row r="6" customFormat="false" ht="15" hidden="false" customHeight="false" outlineLevel="0" collapsed="false">
      <c r="A6" s="8" t="s">
        <v>192</v>
      </c>
      <c r="B6" s="8" t="s">
        <v>193</v>
      </c>
      <c r="C6" s="8" t="s">
        <v>194</v>
      </c>
      <c r="D6" s="8" t="s">
        <v>195</v>
      </c>
    </row>
    <row r="7" customFormat="false" ht="23.85" hidden="false" customHeight="false" outlineLevel="0" collapsed="false">
      <c r="A7" s="8" t="s">
        <v>196</v>
      </c>
      <c r="B7" s="8" t="s">
        <v>197</v>
      </c>
      <c r="C7" s="8" t="s">
        <v>198</v>
      </c>
      <c r="D7" s="8" t="s">
        <v>199</v>
      </c>
    </row>
    <row r="8" customFormat="false" ht="23.85" hidden="false" customHeight="false" outlineLevel="0" collapsed="false">
      <c r="A8" s="8" t="s">
        <v>200</v>
      </c>
      <c r="B8" s="8" t="s">
        <v>201</v>
      </c>
      <c r="C8" s="8" t="s">
        <v>202</v>
      </c>
      <c r="D8" s="8" t="s">
        <v>203</v>
      </c>
    </row>
    <row r="9" customFormat="false" ht="15" hidden="false" customHeight="false" outlineLevel="0" collapsed="false">
      <c r="A9" s="8" t="s">
        <v>204</v>
      </c>
      <c r="B9" s="8" t="s">
        <v>205</v>
      </c>
      <c r="C9" s="8" t="s">
        <v>206</v>
      </c>
      <c r="D9" s="8" t="s">
        <v>207</v>
      </c>
    </row>
    <row r="10" customFormat="false" ht="23.85" hidden="false" customHeight="false" outlineLevel="0" collapsed="false">
      <c r="A10" s="8" t="s">
        <v>208</v>
      </c>
      <c r="B10" s="8" t="s">
        <v>209</v>
      </c>
      <c r="C10" s="8" t="s">
        <v>210</v>
      </c>
      <c r="D10" s="8" t="s">
        <v>211</v>
      </c>
    </row>
    <row r="11" customFormat="false" ht="15" hidden="false" customHeight="false" outlineLevel="0" collapsed="false">
      <c r="A11" s="8" t="s">
        <v>212</v>
      </c>
      <c r="B11" s="8" t="s">
        <v>213</v>
      </c>
      <c r="C11" s="8" t="s">
        <v>214</v>
      </c>
      <c r="D11"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70"/>
    <col collapsed="false" customWidth="true" hidden="false" outlineLevel="0" max="3" min="3" style="0" width="26"/>
  </cols>
  <sheetData>
    <row r="1" customFormat="false" ht="15" hidden="false" customHeight="false" outlineLevel="0" collapsed="false">
      <c r="A1" s="16" t="s">
        <v>215</v>
      </c>
      <c r="B1" s="16" t="s">
        <v>216</v>
      </c>
      <c r="C1" s="16" t="s">
        <v>217</v>
      </c>
    </row>
    <row r="2" customFormat="false" ht="15" hidden="false" customHeight="false" outlineLevel="0" collapsed="false">
      <c r="A2" s="8" t="s">
        <v>218</v>
      </c>
      <c r="B2" s="8" t="s">
        <v>219</v>
      </c>
      <c r="C2" s="8" t="s">
        <v>220</v>
      </c>
    </row>
    <row r="3" customFormat="false" ht="15" hidden="false" customHeight="false" outlineLevel="0" collapsed="false">
      <c r="A3" s="8" t="s">
        <v>221</v>
      </c>
      <c r="B3" s="8" t="s">
        <v>222</v>
      </c>
      <c r="C3" s="8" t="s">
        <v>220</v>
      </c>
    </row>
    <row r="4" customFormat="false" ht="15" hidden="false" customHeight="false" outlineLevel="0" collapsed="false">
      <c r="A4" s="8" t="s">
        <v>223</v>
      </c>
      <c r="B4" s="8" t="s">
        <v>224</v>
      </c>
      <c r="C4" s="8" t="s">
        <v>225</v>
      </c>
    </row>
    <row r="5" customFormat="false" ht="15" hidden="false" customHeight="false" outlineLevel="0" collapsed="false">
      <c r="A5" s="8" t="s">
        <v>226</v>
      </c>
      <c r="B5" s="8" t="s">
        <v>227</v>
      </c>
      <c r="C5" s="8" t="s">
        <v>228</v>
      </c>
    </row>
    <row r="6" customFormat="false" ht="15" hidden="false" customHeight="false" outlineLevel="0" collapsed="false">
      <c r="A6" s="8" t="s">
        <v>229</v>
      </c>
      <c r="B6" s="8" t="s">
        <v>230</v>
      </c>
      <c r="C6" s="8" t="s">
        <v>225</v>
      </c>
    </row>
    <row r="7" customFormat="false" ht="15" hidden="false" customHeight="false" outlineLevel="0" collapsed="false">
      <c r="A7" s="8" t="s">
        <v>231</v>
      </c>
      <c r="B7" s="8" t="s">
        <v>232</v>
      </c>
      <c r="C7" s="8" t="s">
        <v>233</v>
      </c>
    </row>
    <row r="8" customFormat="false" ht="15" hidden="false" customHeight="false" outlineLevel="0" collapsed="false">
      <c r="A8" s="8" t="s">
        <v>234</v>
      </c>
      <c r="B8" s="8" t="s">
        <v>235</v>
      </c>
      <c r="C8" s="8" t="s">
        <v>236</v>
      </c>
    </row>
    <row r="9" customFormat="false" ht="23.85" hidden="false" customHeight="false" outlineLevel="0" collapsed="false">
      <c r="A9" s="8" t="s">
        <v>237</v>
      </c>
      <c r="B9" s="8" t="s">
        <v>238</v>
      </c>
      <c r="C9" s="8" t="s">
        <v>225</v>
      </c>
    </row>
    <row r="10" customFormat="false" ht="23.85" hidden="false" customHeight="false" outlineLevel="0" collapsed="false">
      <c r="A10" s="8" t="s">
        <v>239</v>
      </c>
      <c r="B10" s="8" t="s">
        <v>240</v>
      </c>
      <c r="C10" s="8" t="s">
        <v>220</v>
      </c>
    </row>
    <row r="11" customFormat="false" ht="15" hidden="false" customHeight="false" outlineLevel="0" collapsed="false">
      <c r="A11" s="8" t="s">
        <v>241</v>
      </c>
      <c r="B11" s="8" t="s">
        <v>242</v>
      </c>
      <c r="C11" s="8" t="s">
        <v>225</v>
      </c>
    </row>
    <row r="12" customFormat="false" ht="15" hidden="false" customHeight="false" outlineLevel="0" collapsed="false">
      <c r="A12" s="8" t="s">
        <v>243</v>
      </c>
      <c r="B12" s="8" t="s">
        <v>244</v>
      </c>
      <c r="C12" s="8" t="s">
        <v>245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0"/>
  </cols>
  <sheetData>
    <row r="1" customFormat="false" ht="15" hidden="false" customHeight="false" outlineLevel="0" collapsed="false">
      <c r="A1" s="16" t="s">
        <v>246</v>
      </c>
      <c r="B1" s="16" t="s">
        <v>247</v>
      </c>
    </row>
    <row r="2" customFormat="false" ht="15" hidden="false" customHeight="false" outlineLevel="0" collapsed="false">
      <c r="A2" s="8" t="s">
        <v>248</v>
      </c>
      <c r="B2" s="8" t="s">
        <v>249</v>
      </c>
    </row>
    <row r="3" customFormat="false" ht="15" hidden="false" customHeight="false" outlineLevel="0" collapsed="false">
      <c r="A3" s="8" t="s">
        <v>250</v>
      </c>
      <c r="B3" s="8" t="s">
        <v>251</v>
      </c>
    </row>
    <row r="4" customFormat="false" ht="15" hidden="false" customHeight="false" outlineLevel="0" collapsed="false">
      <c r="A4" s="8" t="s">
        <v>252</v>
      </c>
      <c r="B4" s="8" t="s">
        <v>253</v>
      </c>
    </row>
    <row r="5" customFormat="false" ht="15" hidden="false" customHeight="false" outlineLevel="0" collapsed="false">
      <c r="A5" s="8" t="s">
        <v>66</v>
      </c>
      <c r="B5" s="8" t="s">
        <v>254</v>
      </c>
    </row>
    <row r="6" customFormat="false" ht="15" hidden="false" customHeight="false" outlineLevel="0" collapsed="false">
      <c r="A6" s="8" t="s">
        <v>255</v>
      </c>
      <c r="B6" s="8" t="s">
        <v>256</v>
      </c>
    </row>
    <row r="7" customFormat="false" ht="15" hidden="false" customHeight="false" outlineLevel="0" collapsed="false">
      <c r="A7" s="8" t="s">
        <v>257</v>
      </c>
      <c r="B7" s="8" t="s">
        <v>258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2026-10-26T15:14:01Z</dcterms:created>
  <dc:creator>openpyxl</dc:creator>
  <dc:description/>
  <dc:language>en-US</dc:language>
  <cp:lastModifiedBy/>
  <dcterms:modified xsi:type="dcterms:W3CDTF">2026-10-26T15:14:01Z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